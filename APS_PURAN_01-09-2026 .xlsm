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sbo\Downloads\"/>
    </mc:Choice>
  </mc:AlternateContent>
  <xr:revisionPtr revIDLastSave="0" documentId="13_ncr:1_{B8E903D5-0D23-424D-B87C-7F596B77518D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BD_OPs" sheetId="1" r:id="rId1"/>
    <sheet name="BD_Equipamentos" sheetId="2" r:id="rId2"/>
    <sheet name="BD_Eventos" sheetId="3" r:id="rId3"/>
    <sheet name="BD_Config" sheetId="4" r:id="rId4"/>
    <sheet name="BD_Produtos" sheetId="5" r:id="rId5"/>
    <sheet name="BD_Operadores" sheetId="6" r:id="rId6"/>
    <sheet name="BD_Turnos" sheetId="7" r:id="rId7"/>
    <sheet name="BD_Processos" sheetId="8" r:id="rId8"/>
    <sheet name="BD_MotivosParada" sheetId="9" r:id="rId9"/>
    <sheet name="BD_Simulacoes" sheetId="10" r:id="rId10"/>
    <sheet name="BD_OPsSimulacao" sheetId="11" r:id="rId11"/>
    <sheet name="BD_Producoes" sheetId="12" r:id="rId12"/>
    <sheet name="BD_Paradas" sheetId="13" r:id="rId13"/>
  </sheets>
  <functionGroups builtInGroupCount="19"/>
  <calcPr calcId="0"/>
  <fileRecoveryPr repairLoad="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<sst xmlns="http://schemas.openxmlformats.org/spreadsheetml/2006/main" count="342" uniqueCount="222">
  <si>
    <t>BD_OPs — Ordens de Produção</t>
  </si>
  <si>
    <t>Fonte: modDatabase.bas / TabelaOPs. Escrita por modEngine.SalvarNovaOP / AtualizarOP / ExcluirOP.</t>
  </si>
  <si>
    <t>ID_OP</t>
  </si>
  <si>
    <t>Produto</t>
  </si>
  <si>
    <t>Equipamento</t>
  </si>
  <si>
    <t>Quantidade</t>
  </si>
  <si>
    <t>Data_Inicio</t>
  </si>
  <si>
    <t>Data_Fim</t>
  </si>
  <si>
    <t>Duracao_Horas</t>
  </si>
  <si>
    <t>Status</t>
  </si>
  <si>
    <t>OP-1001</t>
  </si>
  <si>
    <t>Chapa Aço Carbono 2mm</t>
  </si>
  <si>
    <t>EQ-01</t>
  </si>
  <si>
    <t>Em Andamento</t>
  </si>
  <si>
    <t>OP-1002</t>
  </si>
  <si>
    <t>Perfil Alumínio 40x40</t>
  </si>
  <si>
    <t>EQ-02</t>
  </si>
  <si>
    <t>Planejada</t>
  </si>
  <si>
    <t>OP-1003</t>
  </si>
  <si>
    <t>Tubo Redondo 1 pol</t>
  </si>
  <si>
    <t>Atrasado</t>
  </si>
  <si>
    <t>OP-1004</t>
  </si>
  <si>
    <t>Cantoneira Ferro 3/4</t>
  </si>
  <si>
    <t>EQ-03</t>
  </si>
  <si>
    <t>Concluído</t>
  </si>
  <si>
    <t>OP-1005</t>
  </si>
  <si>
    <t>Bobina Aço Inox</t>
  </si>
  <si>
    <t>Domínio de Status confirmado em frmCadastroOP.frm / frmDetalheOP.frm / frmSimulacao.frm: Planejada, Em Andamento, Concluído, Atrasado. Dados fictícios de teste.</t>
  </si>
  <si>
    <t>BD_Equipamentos — Postos de Trabalho</t>
  </si>
  <si>
    <t>Fonte: modDatabase.bas / TabelaEquipamentos. Referida como 'Postos' na UI (frmCadastros.frm).</t>
  </si>
  <si>
    <t>ID_Equipamento</t>
  </si>
  <si>
    <t>Nome</t>
  </si>
  <si>
    <t>Capacidade_Hora</t>
  </si>
  <si>
    <t>Status_Manutencao</t>
  </si>
  <si>
    <t>Prensa Hidráulica 01</t>
  </si>
  <si>
    <t>Operante</t>
  </si>
  <si>
    <t>Dobradeira CNC 02</t>
  </si>
  <si>
    <t>Cabine de Pintura 01</t>
  </si>
  <si>
    <t>EQ-04</t>
  </si>
  <si>
    <t>Solda MIG 04</t>
  </si>
  <si>
    <t>Manutenção</t>
  </si>
  <si>
    <t>Atenção: nenhum domínio fixo para Status_Manutencao foi encontrado no código (combo cboCampo1 da página 'Postos' em frmCadastros.frm não possui itens estáticos). Valores aqui são apenas exemplo — confirmar com o desenvolvedor do VBA antes de travar uma lista de validação.</t>
  </si>
  <si>
    <t>BD_Eventos — Eventos de Produção</t>
  </si>
  <si>
    <t>Fonte: modDatabase.bas / TabelaEventos. Escrita/leitura por frmEventos.frm. Inicio/Fim convertidos com CDate.</t>
  </si>
  <si>
    <t>ID_Evento</t>
  </si>
  <si>
    <t>Tipo</t>
  </si>
  <si>
    <t>Inicio</t>
  </si>
  <si>
    <t>Fim</t>
  </si>
  <si>
    <t>Motivo</t>
  </si>
  <si>
    <t>EVT-001</t>
  </si>
  <si>
    <t>Manutenção preventiva programada</t>
  </si>
  <si>
    <t>EVT-002</t>
  </si>
  <si>
    <t>Refeição</t>
  </si>
  <si>
    <t>Intervalo de almoço</t>
  </si>
  <si>
    <t>EVT-003</t>
  </si>
  <si>
    <t>Parada</t>
  </si>
  <si>
    <t>Falta de matéria-prima</t>
  </si>
  <si>
    <t>Domínio de Tipo confirmado em frmEventos.frm (cboTipo.AddItem): Manutenção, Parada, Refeição, Outros. Dados fictícios de teste.</t>
  </si>
  <si>
    <t>BD_Config — Configurações do Sistema (chave/valor)</t>
  </si>
  <si>
    <t>Fonte: modDatabase.bas / TabelaConfig. Lida/gravada por modConfig.bas (ObterConfiguracao/SalvarConfiguracao).</t>
  </si>
  <si>
    <t>Chave</t>
  </si>
  <si>
    <t>Valor</t>
  </si>
  <si>
    <t>NomeSistema</t>
  </si>
  <si>
    <t>APS PURAN</t>
  </si>
  <si>
    <t>Empresa</t>
  </si>
  <si>
    <t>Empresa Exemplo Ltda (dado fictício)</t>
  </si>
  <si>
    <t>FormatoData</t>
  </si>
  <si>
    <t>dd/mm/aaaa</t>
  </si>
  <si>
    <t>HorarioInicio</t>
  </si>
  <si>
    <t>06:00</t>
  </si>
  <si>
    <t>HorarioFim</t>
  </si>
  <si>
    <t>22:00</t>
  </si>
  <si>
    <t>HorarioPadrao</t>
  </si>
  <si>
    <t>TurnoPadrao</t>
  </si>
  <si>
    <t>ToleranciaAtraso</t>
  </si>
  <si>
    <t>2</t>
  </si>
  <si>
    <t>PeriodoPadrao</t>
  </si>
  <si>
    <t>7</t>
  </si>
  <si>
    <t>ZoomPadrao</t>
  </si>
  <si>
    <t>100</t>
  </si>
  <si>
    <t>ZoomPlanejamento</t>
  </si>
  <si>
    <t>EscalaTimeline</t>
  </si>
  <si>
    <t>Dia</t>
  </si>
  <si>
    <t>EstiloCards</t>
  </si>
  <si>
    <t>Padrão</t>
  </si>
  <si>
    <t>AlturaCards</t>
  </si>
  <si>
    <t>AlturaLinhaPosto</t>
  </si>
  <si>
    <t>70</t>
  </si>
  <si>
    <t>MostrarLinhaAgora</t>
  </si>
  <si>
    <t>Sim</t>
  </si>
  <si>
    <t>MostrarConflitos</t>
  </si>
  <si>
    <t>MostrarScrollHorizontal</t>
  </si>
  <si>
    <t>OrdenarPorPlanejamento</t>
  </si>
  <si>
    <t>FiltroStatusPlanejamento</t>
  </si>
  <si>
    <t>Todos</t>
  </si>
  <si>
    <t>TextoBuscaPlanejamento</t>
  </si>
  <si>
    <t>DataInicioPlanejamento</t>
  </si>
  <si>
    <t>DataFimPlanejamento</t>
  </si>
  <si>
    <t>UltimoPainelPrincipal</t>
  </si>
  <si>
    <t>Dashboard</t>
  </si>
  <si>
    <t>SimulacaoAtivaID</t>
  </si>
  <si>
    <t>SimulacaoDataInicio</t>
  </si>
  <si>
    <t>SimulacaoDataFim</t>
  </si>
  <si>
    <t>SimulacaoZoom</t>
  </si>
  <si>
    <t>ComparacaoSimA</t>
  </si>
  <si>
    <t>ComparacaoSimB</t>
  </si>
  <si>
    <t>Todas as 29 chaves acima foram extraídas por varredura literal de chamadas SalvarConfiguracao("...") no VBA (frmConfiguracoes.frm e módulos). Valores default sugeridos — ajustar conforme regra de negócio real.</t>
  </si>
  <si>
    <t>BD_Produtos — Cadastro de Produtos</t>
  </si>
  <si>
    <t>Fonte: modDatabase.bas / TabelaProdutos. CRUD genérico via frmCadastros.frm (página 'Produtos').</t>
  </si>
  <si>
    <t>ID_Produto</t>
  </si>
  <si>
    <t>Descricao</t>
  </si>
  <si>
    <t>Tempo_Padrao_Horas</t>
  </si>
  <si>
    <t>MAT-001</t>
  </si>
  <si>
    <t>Chapa laminada a frio, espessura 2mm</t>
  </si>
  <si>
    <t>Ativo</t>
  </si>
  <si>
    <t>MAT-002</t>
  </si>
  <si>
    <t>Perfil estrutural de alumínio</t>
  </si>
  <si>
    <t>MAT-003</t>
  </si>
  <si>
    <t>Tubo de aço carbono redondo</t>
  </si>
  <si>
    <t>MAT-004</t>
  </si>
  <si>
    <t>Cantoneira de ferro laminado</t>
  </si>
  <si>
    <t>MAT-005</t>
  </si>
  <si>
    <t>Bobina de aço inoxidável 304</t>
  </si>
  <si>
    <t>Atenção: nenhum domínio fixo para Status foi encontrado no código (combo da página 'Produtos' não possui itens estáticos no .frm). 'Ativo' usado apenas como exemplo — sem validação de lista aplicada.</t>
  </si>
  <si>
    <t>BD_Operadores — Cadastro de Operadores</t>
  </si>
  <si>
    <t>Fonte: modDatabase.bas / TabelaOperadores. CRUD genérico via frmCadastros.frm (página 'Operadores').</t>
  </si>
  <si>
    <t>ID_Operador</t>
  </si>
  <si>
    <t>OPD-01</t>
  </si>
  <si>
    <t>João Silva</t>
  </si>
  <si>
    <t>OPD-02</t>
  </si>
  <si>
    <t>Maria Souza</t>
  </si>
  <si>
    <t>OPD-03</t>
  </si>
  <si>
    <t>Carlos Lima</t>
  </si>
  <si>
    <t>OPD-04</t>
  </si>
  <si>
    <t>Ana Paula</t>
  </si>
  <si>
    <t>Inativo</t>
  </si>
  <si>
    <t>Mesma observação de BD_Produtos: domínio de Status não confirmado no código-fonte revisado. Sem validação de lista aplicada.</t>
  </si>
  <si>
    <t>Fonte: modDatabase.bas / TabelaTurnos. CRUD genérico via frmCadastros.frm (página 'Turnos').</t>
  </si>
  <si>
    <t>ID_Turno</t>
  </si>
  <si>
    <t>Hora_Inicio</t>
  </si>
  <si>
    <t>Hora_Fim</t>
  </si>
  <si>
    <t>Dias_Funcionamento</t>
  </si>
  <si>
    <t>TUR-01</t>
  </si>
  <si>
    <t>1º Turno</t>
  </si>
  <si>
    <t>14:00</t>
  </si>
  <si>
    <t>Seg-Sex</t>
  </si>
  <si>
    <t>TUR-02</t>
  </si>
  <si>
    <t>2º Turno</t>
  </si>
  <si>
    <t>TUR-03</t>
  </si>
  <si>
    <t>3º Turno</t>
  </si>
  <si>
    <t>Importante: em frmCadastros.frm, Hora_Inicio/Hora_Fim são gravados a partir de txtCampo.Text SEM conversão CDate — ao contrário de BD_Eventos (que usa CDate). Por isso estas células foram formatadas como TEXTO ('06:00'), não como hora numérica, para não conflitar com o comportamento real do VBA. Vale confirmar se isso é intencional.</t>
  </si>
  <si>
    <t>BD_Processos — Roteiro de Processos (Produto x Posto x Sequência)</t>
  </si>
  <si>
    <t>Fonte: modDatabase.bas / TabelaProcessos. CRUD genérico via frmCadastros.frm (página 'Processos'). Produto/Posto referenciam BD_Produtos/BD_Equipamentos.</t>
  </si>
  <si>
    <t>ID_Processo</t>
  </si>
  <si>
    <t>Posto</t>
  </si>
  <si>
    <t>Sequencia</t>
  </si>
  <si>
    <t>PRC-001</t>
  </si>
  <si>
    <t>PRC-002</t>
  </si>
  <si>
    <t>PRC-003</t>
  </si>
  <si>
    <t>PRC-004</t>
  </si>
  <si>
    <t>Produto/Posto usam os IDs de BD_Produtos.ID_Produto e BD_Equipamentos.ID_Equipamento (relação lógica; não há validação de integridade referencial nativa do Excel aplicada aqui — o VBA que garante consistência).</t>
  </si>
  <si>
    <t>BD_MotivosParada — Motivos de Parada</t>
  </si>
  <si>
    <t>Fonte: modDatabase.bas / TabelaMotivosParada. CRUD genérico via frmCadastros.frm (página 'MotivosParada'). Referenciada por BD_Paradas.ID_Motivo.</t>
  </si>
  <si>
    <t>ID_Motivo</t>
  </si>
  <si>
    <t>Categoria</t>
  </si>
  <si>
    <t>MOT-01</t>
  </si>
  <si>
    <t>Material</t>
  </si>
  <si>
    <t>MOT-02</t>
  </si>
  <si>
    <t>Manutenção corretiva</t>
  </si>
  <si>
    <t>MOT-03</t>
  </si>
  <si>
    <t>Troca de ferramenta / setup</t>
  </si>
  <si>
    <t>Processo</t>
  </si>
  <si>
    <t>Atenção: nenhum domínio fixo para Categoria/Status foi encontrado no código (combos da página 'MotivosParada' sem itens estáticos no .frm). Valores de exemplo — sem validação de lista aplicada.</t>
  </si>
  <si>
    <t>BD_Simulacoes — Cenários de Simulação</t>
  </si>
  <si>
    <t>Fonte: modDatabase.bas / TabelaSimulacoes. Escrita por modEngine.SalvarSimulacao (chamada por frmSimulacao.frm).</t>
  </si>
  <si>
    <t>ID_Simulacao</t>
  </si>
  <si>
    <t>Nome_Simulacao</t>
  </si>
  <si>
    <t>Data_Criacao</t>
  </si>
  <si>
    <t>Observacao</t>
  </si>
  <si>
    <t>SIM-001</t>
  </si>
  <si>
    <t>Cenário A - Troca de Equipamento</t>
  </si>
  <si>
    <t>Ativa</t>
  </si>
  <si>
    <t>Dado fictício</t>
  </si>
  <si>
    <t>SIM-002</t>
  </si>
  <si>
    <t>Cenário B - Antecipação de Turno</t>
  </si>
  <si>
    <t>Único valor de Status observado no código é 'Ativa' (frmSimulacao.frm, linha SalvarSimulacao(...,"Ativa",...)). Nenhum outro valor (ex.: encerrada/arquivada) foi encontrado — não foi aplicada validação de lista para não restringir indevidamente estados futuros ainda não implementados.</t>
  </si>
  <si>
    <t>BD_OPsSimulacao — OPs dentro de um Cenário de Simulação</t>
  </si>
  <si>
    <t>Fonte: modDatabase.bas / TabelaOPsSimulacao. Escrita por modEngine.SalvarOPSimulacao/ImportarOPsParaSimulacao.</t>
  </si>
  <si>
    <t>ID_OP_Simulacao</t>
  </si>
  <si>
    <t>ID_OP_Origem</t>
  </si>
  <si>
    <t>Prioridade</t>
  </si>
  <si>
    <t>OPSIM-0001</t>
  </si>
  <si>
    <t>Alta</t>
  </si>
  <si>
    <t>Simulação: troca para EQ-04</t>
  </si>
  <si>
    <t>OPSIM-0002</t>
  </si>
  <si>
    <t>Normal</t>
  </si>
  <si>
    <t>OPSIM-0003</t>
  </si>
  <si>
    <t>Simulação: antecipação de turno</t>
  </si>
  <si>
    <t>Status reutiliza o domínio de BD_OPs (confirmado no filtro de frmSimulacao.frm). Prioridade: nenhum domínio fixo encontrado no código — sem validação de lista aplicada.</t>
  </si>
  <si>
    <t>BD_Producoes — Apontamento de Produção</t>
  </si>
  <si>
    <t>Fonte: modDatabase.bas / TabelaProducoes. Ciclo de vida via modEngine.IniciarProducao/PausarProducao/RetomarProducao/FinalizarProducao.</t>
  </si>
  <si>
    <t>ID_Producao</t>
  </si>
  <si>
    <t>Quantidade_Planejada</t>
  </si>
  <si>
    <t>Quantidade_Produzida</t>
  </si>
  <si>
    <t>Quantidade_Rejeitada</t>
  </si>
  <si>
    <t>PRD-001</t>
  </si>
  <si>
    <t>EM PRODUÇÃO</t>
  </si>
  <si>
    <t>PRD-002</t>
  </si>
  <si>
    <t>PAUSADA</t>
  </si>
  <si>
    <t>PRD-003</t>
  </si>
  <si>
    <t>FINALIZADA</t>
  </si>
  <si>
    <t>Domínio de Status confirmado literalmente em modEngine.bas (IniciarProducao/PausarProducao/RetomarProducao/FinalizarProducao): EM PRODUÇÃO, PAUSADA, FINALIZADA — em MAIÚSCULAS exatas, pois o código compara strings sem normalização de caixa.</t>
  </si>
  <si>
    <t>BD_Paradas — Registro de Paradas</t>
  </si>
  <si>
    <t>Fonte: modDatabase.bas / TabelaParadas. Escrita por modEngine.RegistrarParada/FinalizarParada. ID_Motivo referencia BD_MotivosParada.</t>
  </si>
  <si>
    <t>ID_Parada</t>
  </si>
  <si>
    <t>Duracao_Minutos</t>
  </si>
  <si>
    <t>PAR-001</t>
  </si>
  <si>
    <t>Aguardando reposição de matéria-prima</t>
  </si>
  <si>
    <t>PAR-002</t>
  </si>
  <si>
    <t>Setup de troca de ferramenta</t>
  </si>
  <si>
    <t>ID_Motivo referencia BD_MotivosParada.ID_Motivo (relação lógica). Dados fictícios de teste.</t>
  </si>
  <si>
    <t xml:space="preserve">             BD_Turnos — Cadastro de Turnos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</si>
</sst>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charset val="1"/>
    </font>
    <font>
      <b/>
      <sz val="14"/>
      <color rgb="FF1F4E78"/>
      <name val="Arial"/>
      <charset val="1"/>
    </font>
    <font>
      <i/>
      <sz val="9"/>
      <color rgb="FF595959"/>
      <name val="Arial"/>
      <charset val="1"/>
    </font>
    <font>
      <b/>
      <sz val="10"/>
      <color rgb="FFFFFFFF"/>
      <name val="Arial"/>
      <charset val="1"/>
    </font>
    <font>
      <i/>
      <sz val="8"/>
      <color rgb="FF7F7F7F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1" fontId="0" fillId="0" borderId="0" xfId="0" applyNumberFormat="1"/>
    <xf numFmtId="14" fontId="0" fillId="0" borderId="0" xfId="0" applyNumberFormat="1"/>
    <xf numFmtId="164" fontId="0" fillId="0" borderId="0" xfId="0" applyNumberFormat="1"/>
    <xf numFmtId="22" fontId="0" fillId="0" borderId="0" xfId="0" applyNumberFormat="1"/>
    <xf numFmtId="49" fontId="0" fillId="0" borderId="0" xfId="0" applyNumberFormat="1"/>
    <xf numFmtId="2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2" fillId="0" borderId="0" xfId="0" applyFont="1"/>
    <xf numFmtId="0" fontId="4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9595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elaOPs" displayName="TabelaOPs" ref="A4:H9" totalsRowShown="0">
  <autoFilter ref="A4:H9" xr:uid="{00000000-0009-0000-0100-000006000000}"/>
  <tableColumns count="8">
    <tableColumn id="1" xr3:uid="{00000000-0010-0000-0000-000001000000}" name="ID_OP"/>
    <tableColumn id="2" xr3:uid="{00000000-0010-0000-0000-000002000000}" name="Produto"/>
    <tableColumn id="3" xr3:uid="{00000000-0010-0000-0000-000003000000}" name="Equipamento"/>
    <tableColumn id="4" xr3:uid="{00000000-0010-0000-0000-000004000000}" name="Quantidade"/>
    <tableColumn id="5" xr3:uid="{00000000-0010-0000-0000-000005000000}" name="Data_Inicio"/>
    <tableColumn id="6" xr3:uid="{00000000-0010-0000-0000-000006000000}" name="Data_Fim"/>
    <tableColumn id="7" xr3:uid="{00000000-0010-0000-0000-000007000000}" name="Duracao_Horas"/>
    <tableColumn id="8" xr3:uid="{00000000-0010-0000-0000-000008000000}" name="Status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Equipamentos" displayName="TabelaEquipamentos" ref="A4:D8" totalsRowShown="0">
  <autoFilter ref="A4:D8" xr:uid="{00000000-0009-0000-0100-000002000000}"/>
  <tableColumns count="4">
    <tableColumn id="1" xr3:uid="{00000000-0010-0000-0100-000001000000}" name="ID_Equipamento"/>
    <tableColumn id="2" xr3:uid="{00000000-0010-0000-0100-000002000000}" name="Nome"/>
    <tableColumn id="3" xr3:uid="{00000000-0010-0000-0100-000003000000}" name="Capacidade_Hora"/>
    <tableColumn id="4" xr3:uid="{00000000-0010-0000-0100-000004000000}" name="Status_Manutencao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Eventos" displayName="TabelaEventos" ref="A4:F7" totalsRowShown="0">
  <autoFilter ref="A4:F7" xr:uid="{00000000-0009-0000-0100-000003000000}"/>
  <tableColumns count="6">
    <tableColumn id="1" xr3:uid="{00000000-0010-0000-0200-000001000000}" name="ID_Evento"/>
    <tableColumn id="2" xr3:uid="{00000000-0010-0000-0200-000002000000}" name="Tipo"/>
    <tableColumn id="3" xr3:uid="{00000000-0010-0000-0200-000003000000}" name="Equipamento"/>
    <tableColumn id="4" xr3:uid="{00000000-0010-0000-0200-000004000000}" name="Inicio"/>
    <tableColumn id="5" xr3:uid="{00000000-0010-0000-0200-000005000000}" name="Fim"/>
    <tableColumn id="6" xr3:uid="{00000000-0010-0000-0200-000006000000}" name="Motivo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elaConfig" displayName="TabelaConfig" ref="A4:B34" totalsRowShown="0">
  <autoFilter ref="A4:B34" xr:uid="{00000000-0009-0000-0100-000001000000}"/>
  <tableColumns count="2">
    <tableColumn id="1" xr3:uid="{00000000-0010-0000-0300-000001000000}" name="Chave"/>
    <tableColumn id="2" xr3:uid="{00000000-0010-0000-0300-000002000000}" name="Valor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TabelaProdutos" displayName="TabelaProdutos" ref="A4:E9" totalsRowShown="0">
  <autoFilter ref="A4:E9" xr:uid="{00000000-0009-0000-0100-00000B000000}"/>
  <tableColumns count="5">
    <tableColumn id="1" xr3:uid="{00000000-0010-0000-0400-000001000000}" name="ID_Produto"/>
    <tableColumn id="2" xr3:uid="{00000000-0010-0000-0400-000002000000}" name="Nome"/>
    <tableColumn id="3" xr3:uid="{00000000-0010-0000-0400-000003000000}" name="Descricao"/>
    <tableColumn id="4" xr3:uid="{00000000-0010-0000-0400-000004000000}" name="Tempo_Padrao_Horas"/>
    <tableColumn id="5" xr3:uid="{00000000-0010-0000-0400-000005000000}" name="Status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elaOperadores" displayName="TabelaOperadores" ref="A4:C8" totalsRowShown="0">
  <autoFilter ref="A4:C8" xr:uid="{00000000-0009-0000-0100-000005000000}"/>
  <tableColumns count="3">
    <tableColumn id="1" xr3:uid="{00000000-0010-0000-0500-000001000000}" name="ID_Operador"/>
    <tableColumn id="2" xr3:uid="{00000000-0010-0000-0500-000002000000}" name="Nome"/>
    <tableColumn id="3" xr3:uid="{00000000-0010-0000-0500-000003000000}" name="Status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TabelaTurnos" displayName="TabelaTurnos" ref="A4:E7" totalsRowShown="0">
  <autoFilter ref="A4:E7" xr:uid="{00000000-0009-0000-0100-00000D000000}"/>
  <tableColumns count="5">
    <tableColumn id="1" xr3:uid="{00000000-0010-0000-0600-000001000000}" name="ID_Turno"/>
    <tableColumn id="2" xr3:uid="{00000000-0010-0000-0600-000002000000}" name="Nome"/>
    <tableColumn id="3" xr3:uid="{00000000-0010-0000-0600-000003000000}" name="Hora_Inicio"/>
    <tableColumn id="4" xr3:uid="{00000000-0010-0000-0600-000004000000}" name="Hora_Fim"/>
    <tableColumn id="5" xr3:uid="{00000000-0010-0000-0600-000005000000}" name="Dias_Funcionamento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elaProcessos" displayName="TabelaProcessos" ref="A4:E8" totalsRowShown="0">
  <autoFilter ref="A4:E8" xr:uid="{00000000-0009-0000-0100-000009000000}"/>
  <tableColumns count="5">
    <tableColumn id="1" xr3:uid="{00000000-0010-0000-0700-000001000000}" name="ID_Processo"/>
    <tableColumn id="2" xr3:uid="{00000000-0010-0000-0700-000002000000}" name="Produto"/>
    <tableColumn id="3" xr3:uid="{00000000-0010-0000-0700-000003000000}" name="Posto"/>
    <tableColumn id="4" xr3:uid="{00000000-0010-0000-0700-000004000000}" name="Sequencia"/>
    <tableColumn id="5" xr3:uid="{00000000-0010-0000-0700-000005000000}" name="Tempo_Padrao_Horas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8000000}" name="TabelaMotivosParada" displayName="TabelaMotivosParada" ref="A4:D7" totalsRowShown="0">
  <autoFilter ref="A4:D7" xr:uid="{00000000-0009-0000-0100-000004000000}"/>
  <tableColumns count="4">
    <tableColumn id="1" xr3:uid="{00000000-0010-0000-0800-000001000000}" name="ID_Motivo"/>
    <tableColumn id="2" xr3:uid="{00000000-0010-0000-0800-000002000000}" name="Descricao"/>
    <tableColumn id="3" xr3:uid="{00000000-0010-0000-0800-000003000000}" name="Categoria"/>
    <tableColumn id="4" xr3:uid="{00000000-0010-0000-0800-000004000000}" name="Status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TabelaSimulacoes" displayName="TabelaSimulacoes" ref="A4:G6" totalsRowShown="0">
  <autoFilter ref="A4:G6" xr:uid="{00000000-0009-0000-0100-00000C000000}"/>
  <tableColumns count="7">
    <tableColumn id="1" xr3:uid="{00000000-0010-0000-0900-000001000000}" name="ID_Simulacao"/>
    <tableColumn id="2" xr3:uid="{00000000-0010-0000-0900-000002000000}" name="Nome_Simulacao"/>
    <tableColumn id="3" xr3:uid="{00000000-0010-0000-0900-000003000000}" name="Data_Criacao"/>
    <tableColumn id="4" xr3:uid="{00000000-0010-0000-0900-000004000000}" name="Data_Inicio"/>
    <tableColumn id="5" xr3:uid="{00000000-0010-0000-0900-000005000000}" name="Data_Fim"/>
    <tableColumn id="6" xr3:uid="{00000000-0010-0000-0900-000006000000}" name="Status"/>
    <tableColumn id="7" xr3:uid="{00000000-0010-0000-0900-000007000000}" name="Observacao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TabelaOPsSimulacao" displayName="TabelaOPsSimulacao" ref="A4:L7" totalsRowShown="0">
  <autoFilter ref="A4:L7" xr:uid="{00000000-0009-0000-0100-000007000000}"/>
  <tableColumns count="12">
    <tableColumn id="1" xr3:uid="{00000000-0010-0000-0A00-000001000000}" name="ID_Simulacao"/>
    <tableColumn id="2" xr3:uid="{00000000-0010-0000-0A00-000002000000}" name="ID_OP_Simulacao"/>
    <tableColumn id="3" xr3:uid="{00000000-0010-0000-0A00-000003000000}" name="ID_OP_Origem"/>
    <tableColumn id="4" xr3:uid="{00000000-0010-0000-0A00-000004000000}" name="Produto"/>
    <tableColumn id="5" xr3:uid="{00000000-0010-0000-0A00-000005000000}" name="Equipamento"/>
    <tableColumn id="6" xr3:uid="{00000000-0010-0000-0A00-000006000000}" name="Quantidade"/>
    <tableColumn id="7" xr3:uid="{00000000-0010-0000-0A00-000007000000}" name="Data_Inicio"/>
    <tableColumn id="8" xr3:uid="{00000000-0010-0000-0A00-000008000000}" name="Data_Fim"/>
    <tableColumn id="9" xr3:uid="{00000000-0010-0000-0A00-000009000000}" name="Duracao_Horas"/>
    <tableColumn id="10" xr3:uid="{00000000-0010-0000-0A00-00000A000000}" name="Status"/>
    <tableColumn id="11" xr3:uid="{00000000-0010-0000-0A00-00000B000000}" name="Prioridade"/>
    <tableColumn id="12" xr3:uid="{00000000-0010-0000-0A00-00000C000000}" name="Observacao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elaProducoes" displayName="TabelaProducoes" ref="A4:J7" totalsRowShown="0">
  <autoFilter ref="A4:J7" xr:uid="{00000000-0009-0000-0100-00000A000000}"/>
  <tableColumns count="10">
    <tableColumn id="1" xr3:uid="{00000000-0010-0000-0B00-000001000000}" name="ID_Producao"/>
    <tableColumn id="2" xr3:uid="{00000000-0010-0000-0B00-000002000000}" name="ID_OP"/>
    <tableColumn id="3" xr3:uid="{00000000-0010-0000-0B00-000003000000}" name="ID_Operador"/>
    <tableColumn id="4" xr3:uid="{00000000-0010-0000-0B00-000004000000}" name="Equipamento"/>
    <tableColumn id="5" xr3:uid="{00000000-0010-0000-0B00-000005000000}" name="Data_Inicio"/>
    <tableColumn id="6" xr3:uid="{00000000-0010-0000-0B00-000006000000}" name="Data_Fim"/>
    <tableColumn id="7" xr3:uid="{00000000-0010-0000-0B00-000007000000}" name="Quantidade_Planejada"/>
    <tableColumn id="8" xr3:uid="{00000000-0010-0000-0B00-000008000000}" name="Quantidade_Produzida"/>
    <tableColumn id="9" xr3:uid="{00000000-0010-0000-0B00-000009000000}" name="Quantidade_Rejeitada"/>
    <tableColumn id="10" xr3:uid="{00000000-0010-0000-0B00-00000A000000}" name="Status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C000000}" name="TabelaParadas" displayName="TabelaParadas" ref="A4:I6" totalsRowShown="0">
  <autoFilter ref="A4:I6" xr:uid="{00000000-0009-0000-0100-000008000000}"/>
  <tableColumns count="9">
    <tableColumn id="1" xr3:uid="{00000000-0010-0000-0C00-000001000000}" name="ID_Parada"/>
    <tableColumn id="2" xr3:uid="{00000000-0010-0000-0C00-000002000000}" name="ID_OP"/>
    <tableColumn id="3" xr3:uid="{00000000-0010-0000-0C00-000003000000}" name="Equipamento"/>
    <tableColumn id="4" xr3:uid="{00000000-0010-0000-0C00-000004000000}" name="ID_Operador"/>
    <tableColumn id="5" xr3:uid="{00000000-0010-0000-0C00-000005000000}" name="Data_Inicio"/>
    <tableColumn id="6" xr3:uid="{00000000-0010-0000-0C00-000006000000}" name="Data_Fim"/>
    <tableColumn id="7" xr3:uid="{00000000-0010-0000-0C00-000007000000}" name="ID_Motivo"/>
    <tableColumn id="8" xr3:uid="{00000000-0010-0000-0C00-000008000000}" name="Observacao"/>
    <tableColumn id="9" xr3:uid="{00000000-0010-0000-0C00-000009000000}" name="Duracao_Minuto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11"/>
  <sheetViews>
    <sheetView tabSelected="1" zoomScaleNormal="100" workbookViewId="0">
      <pane ySplit="4" topLeftCell="A5" activePane="bottomLeft" state="frozen"/>
      <selection pane="bottomLeft" activeCell="A11" sqref="A11:H11"/>
    </sheetView>
  </sheetViews>
  <sheetFormatPr defaultColWidth="8.7109375" defaultRowHeight="15" x14ac:dyDescent="0.25"/>
  <cols>
    <col min="1" max="1" width="12" customWidth="1"/>
    <col min="2" max="2" width="26" customWidth="1"/>
    <col min="3" max="3" width="14" customWidth="1"/>
    <col min="4" max="4" width="12" customWidth="1"/>
    <col min="5" max="8" width="14" customWidth="1"/>
  </cols>
  <sheetData>
    <row r="1" spans="1:8" ht="21.75" customHeight="1" x14ac:dyDescent="0.25">
      <c r="A1" s="9" t="s">
        <v>0</v>
      </c>
      <c r="B1" s="9"/>
      <c r="C1" s="9"/>
      <c r="D1" s="9"/>
      <c r="E1" s="9"/>
      <c r="F1" s="9"/>
      <c r="G1" s="9"/>
      <c r="H1" s="9"/>
    </row>
    <row r="2" spans="1:8" ht="13.5" customHeight="1" x14ac:dyDescent="0.25">
      <c r="A2" s="10" t="s">
        <v>1</v>
      </c>
      <c r="B2" s="10"/>
      <c r="C2" s="10"/>
      <c r="D2" s="10"/>
      <c r="E2" s="10"/>
      <c r="F2" s="10"/>
      <c r="G2" s="10"/>
      <c r="H2" s="10"/>
    </row>
    <row r="4" spans="1:8" ht="25.5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1" t="s">
        <v>8</v>
      </c>
      <c r="H4" s="1" t="s">
        <v>9</v>
      </c>
    </row>
    <row r="5" spans="1:8" x14ac:dyDescent="0.25">
      <c r="A5" t="s">
        <v>10</v>
      </c>
      <c r="B5" t="s">
        <v>11</v>
      </c>
      <c r="C5" t="s">
        <v>12</v>
      </c>
      <c r="D5" s="2">
        <v>500</v>
      </c>
      <c r="E5" s="3">
        <v>46259</v>
      </c>
      <c r="F5" s="3">
        <v>46260</v>
      </c>
      <c r="G5" s="4">
        <v>8</v>
      </c>
      <c r="H5" t="s">
        <v>13</v>
      </c>
    </row>
    <row r="6" spans="1:8" x14ac:dyDescent="0.25">
      <c r="A6" t="s">
        <v>14</v>
      </c>
      <c r="B6" t="s">
        <v>15</v>
      </c>
      <c r="C6" t="s">
        <v>16</v>
      </c>
      <c r="D6" s="2">
        <v>300</v>
      </c>
      <c r="E6" s="3">
        <v>46263</v>
      </c>
      <c r="F6" s="3">
        <v>46263</v>
      </c>
      <c r="G6" s="4">
        <v>6</v>
      </c>
      <c r="H6" t="s">
        <v>17</v>
      </c>
    </row>
    <row r="7" spans="1:8" x14ac:dyDescent="0.25">
      <c r="A7" t="s">
        <v>18</v>
      </c>
      <c r="B7" t="s">
        <v>19</v>
      </c>
      <c r="C7" t="s">
        <v>12</v>
      </c>
      <c r="D7" s="2">
        <v>800</v>
      </c>
      <c r="E7" s="3">
        <v>46258</v>
      </c>
      <c r="F7" s="3">
        <v>46258</v>
      </c>
      <c r="G7" s="4">
        <v>12</v>
      </c>
      <c r="H7" t="s">
        <v>20</v>
      </c>
    </row>
    <row r="8" spans="1:8" x14ac:dyDescent="0.25">
      <c r="A8" t="s">
        <v>21</v>
      </c>
      <c r="B8" t="s">
        <v>22</v>
      </c>
      <c r="C8" t="s">
        <v>23</v>
      </c>
      <c r="D8" s="2">
        <v>150</v>
      </c>
      <c r="E8" s="3">
        <v>46256</v>
      </c>
      <c r="F8" s="3">
        <v>46256</v>
      </c>
      <c r="G8" s="4">
        <v>4</v>
      </c>
      <c r="H8" t="s">
        <v>24</v>
      </c>
    </row>
    <row r="9" spans="1:8" x14ac:dyDescent="0.25">
      <c r="A9" t="s">
        <v>25</v>
      </c>
      <c r="B9" t="s">
        <v>26</v>
      </c>
      <c r="C9" t="s">
        <v>12</v>
      </c>
      <c r="D9" s="2">
        <v>1000</v>
      </c>
      <c r="E9" s="3">
        <v>46264</v>
      </c>
      <c r="F9" s="3">
        <v>46265</v>
      </c>
      <c r="G9" s="4">
        <v>10</v>
      </c>
      <c r="H9" t="s">
        <v>17</v>
      </c>
    </row>
    <row r="11" spans="1:8" x14ac:dyDescent="0.25">
      <c r="A11" s="11" t="s">
        <v>27</v>
      </c>
      <c r="B11" s="11"/>
      <c r="C11" s="11"/>
      <c r="D11" s="11"/>
      <c r="E11" s="11"/>
      <c r="F11" s="11"/>
      <c r="G11" s="11"/>
      <c r="H11" s="11"/>
    </row>
  </sheetData>
  <mergeCells count="3">
    <mergeCell ref="A1:H1"/>
    <mergeCell ref="A2:H2"/>
    <mergeCell ref="A11:H11"/>
  </mergeCells>
  <dataValidations count="1">
    <dataValidation type="list" allowBlank="1" showErrorMessage="1" errorTitle="Valor inválido" error="Selecione um valor da lista (domínio confirmado no código VBA)." sqref="H5:H1000" xr:uid="{00000000-0002-0000-0000-000000000000}">
      <formula1>"Planejada,Em Andamento,Concluído,Atrasado"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10"/>
  <sheetViews>
    <sheetView zoomScaleNormal="100" workbookViewId="0">
      <pane ySplit="4" topLeftCell="A5" activePane="bottomLeft" state="frozen"/>
      <selection pane="bottomLeft" sqref="A1:D1"/>
    </sheetView>
  </sheetViews>
  <sheetFormatPr defaultColWidth="8.7109375" defaultRowHeight="15" x14ac:dyDescent="0.25"/>
  <cols>
    <col min="1" max="1" width="16" customWidth="1"/>
    <col min="2" max="2" width="22" customWidth="1"/>
    <col min="3" max="3" width="16" customWidth="1"/>
    <col min="4" max="4" width="18" customWidth="1"/>
  </cols>
  <sheetData>
    <row r="1" spans="1:4" ht="21.75" customHeight="1" x14ac:dyDescent="0.25">
      <c r="A1" s="12" t="s">
        <v>28</v>
      </c>
      <c r="B1" s="12"/>
      <c r="C1" s="12"/>
      <c r="D1" s="12"/>
    </row>
    <row r="2" spans="1:4" ht="13.5" customHeight="1" x14ac:dyDescent="0.25">
      <c r="A2" s="10" t="s">
        <v>29</v>
      </c>
      <c r="B2" s="10"/>
      <c r="C2" s="10"/>
      <c r="D2" s="10"/>
    </row>
    <row r="4" spans="1:4" ht="25.5" x14ac:dyDescent="0.25">
      <c r="A4" s="1" t="s">
        <v>30</v>
      </c>
      <c r="B4" s="1" t="s">
        <v>31</v>
      </c>
      <c r="C4" s="1" t="s">
        <v>32</v>
      </c>
      <c r="D4" s="1" t="s">
        <v>33</v>
      </c>
    </row>
    <row r="5" spans="1:4" x14ac:dyDescent="0.25">
      <c r="A5" t="s">
        <v>12</v>
      </c>
      <c r="B5" t="s">
        <v>34</v>
      </c>
      <c r="C5" s="4">
        <v>8</v>
      </c>
      <c r="D5" t="s">
        <v>35</v>
      </c>
    </row>
    <row r="6" spans="1:4" x14ac:dyDescent="0.25">
      <c r="A6" t="s">
        <v>16</v>
      </c>
      <c r="B6" t="s">
        <v>36</v>
      </c>
      <c r="C6" s="4">
        <v>8</v>
      </c>
      <c r="D6" t="s">
        <v>35</v>
      </c>
    </row>
    <row r="7" spans="1:4" x14ac:dyDescent="0.25">
      <c r="A7" t="s">
        <v>23</v>
      </c>
      <c r="B7" t="s">
        <v>37</v>
      </c>
      <c r="C7" s="4">
        <v>6</v>
      </c>
      <c r="D7" t="s">
        <v>35</v>
      </c>
    </row>
    <row r="8" spans="1:4" x14ac:dyDescent="0.25">
      <c r="A8" t="s">
        <v>38</v>
      </c>
      <c r="B8" t="s">
        <v>39</v>
      </c>
      <c r="C8" s="4">
        <v>8</v>
      </c>
      <c r="D8" t="s">
        <v>40</v>
      </c>
    </row>
    <row r="10" spans="1:4" x14ac:dyDescent="0.25">
      <c r="A10" s="11" t="s">
        <v>41</v>
      </c>
      <c r="B10" s="11"/>
      <c r="C10" s="11"/>
      <c r="D10" s="11"/>
    </row>
  </sheetData>
  <mergeCells count="3">
    <mergeCell ref="A1:D1"/>
    <mergeCell ref="A2:D2"/>
    <mergeCell ref="A10:D10"/>
  </mergeCell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F9"/>
  <sheetViews>
    <sheetView zoomScaleNormal="100" workbookViewId="0">
      <pane ySplit="4" topLeftCell="A5" activePane="bottomLeft" state="frozen"/>
      <selection pane="bottomLeft" sqref="A1:F1"/>
    </sheetView>
  </sheetViews>
  <sheetFormatPr defaultColWidth="8.7109375" defaultRowHeight="15" x14ac:dyDescent="0.25"/>
  <cols>
    <col min="1" max="1" width="12" customWidth="1"/>
    <col min="2" max="3" width="14" customWidth="1"/>
    <col min="4" max="5" width="18" customWidth="1"/>
    <col min="6" max="6" width="30" customWidth="1"/>
  </cols>
  <sheetData>
    <row r="1" spans="1:6" ht="21.75" customHeight="1" x14ac:dyDescent="0.25">
      <c r="A1" s="12" t="s">
        <v>42</v>
      </c>
      <c r="B1" s="12"/>
      <c r="C1" s="12"/>
      <c r="D1" s="12"/>
      <c r="E1" s="12"/>
      <c r="F1" s="12"/>
    </row>
    <row r="2" spans="1:6" ht="13.5" customHeight="1" x14ac:dyDescent="0.25">
      <c r="A2" s="10" t="s">
        <v>43</v>
      </c>
      <c r="B2" s="10"/>
      <c r="C2" s="10"/>
      <c r="D2" s="10"/>
      <c r="E2" s="10"/>
      <c r="F2" s="10"/>
    </row>
    <row r="4" spans="1:6" x14ac:dyDescent="0.25">
      <c r="A4" s="1" t="s">
        <v>44</v>
      </c>
      <c r="B4" s="1" t="s">
        <v>45</v>
      </c>
      <c r="C4" s="1" t="s">
        <v>4</v>
      </c>
      <c r="D4" s="1" t="s">
        <v>46</v>
      </c>
      <c r="E4" s="1" t="s">
        <v>47</v>
      </c>
      <c r="F4" s="1" t="s">
        <v>48</v>
      </c>
    </row>
    <row r="5" spans="1:6" x14ac:dyDescent="0.25">
      <c r="A5" t="s">
        <v>49</v>
      </c>
      <c r="B5" t="s">
        <v>40</v>
      </c>
      <c r="C5" t="s">
        <v>38</v>
      </c>
      <c r="D5" s="5">
        <v>46261.333333333299</v>
      </c>
      <c r="E5" s="5">
        <v>46261.666666666701</v>
      </c>
      <c r="F5" t="s">
        <v>50</v>
      </c>
    </row>
    <row r="6" spans="1:6" x14ac:dyDescent="0.25">
      <c r="A6" t="s">
        <v>51</v>
      </c>
      <c r="B6" t="s">
        <v>52</v>
      </c>
      <c r="C6" t="s">
        <v>12</v>
      </c>
      <c r="D6" s="5">
        <v>46259.416666666701</v>
      </c>
      <c r="E6" s="5">
        <v>46259.4375</v>
      </c>
      <c r="F6" t="s">
        <v>53</v>
      </c>
    </row>
    <row r="7" spans="1:6" x14ac:dyDescent="0.25">
      <c r="A7" t="s">
        <v>54</v>
      </c>
      <c r="B7" t="s">
        <v>55</v>
      </c>
      <c r="C7" t="s">
        <v>12</v>
      </c>
      <c r="D7" s="5">
        <v>46260.375</v>
      </c>
      <c r="E7" s="5">
        <v>46260.458333333299</v>
      </c>
      <c r="F7" t="s">
        <v>56</v>
      </c>
    </row>
    <row r="9" spans="1:6" x14ac:dyDescent="0.25">
      <c r="A9" s="11" t="s">
        <v>57</v>
      </c>
      <c r="B9" s="11"/>
      <c r="C9" s="11"/>
      <c r="D9" s="11"/>
      <c r="E9" s="11"/>
      <c r="F9" s="11"/>
    </row>
  </sheetData>
  <mergeCells count="3">
    <mergeCell ref="A1:F1"/>
    <mergeCell ref="A2:F2"/>
    <mergeCell ref="A9:F9"/>
  </mergeCells>
  <dataValidations count="1">
    <dataValidation type="list" allowBlank="1" showErrorMessage="1" errorTitle="Valor inválido" error="Selecione um valor da lista (domínio confirmado no código VBA)." sqref="B5:B1000" xr:uid="{00000000-0002-0000-0200-000000000000}">
      <formula1>"Manutenção,Parada,Refeição,Outros"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B36"/>
  <sheetViews>
    <sheetView zoomScaleNormal="100" workbookViewId="0">
      <pane ySplit="4" topLeftCell="A23" activePane="bottomLeft" state="frozen"/>
      <selection pane="bottomLeft" activeCell="B19" sqref="B19"/>
    </sheetView>
  </sheetViews>
  <sheetFormatPr defaultColWidth="8.7109375" defaultRowHeight="15" x14ac:dyDescent="0.25"/>
  <cols>
    <col min="1" max="1" width="30" customWidth="1"/>
    <col min="2" max="2" width="40" customWidth="1"/>
  </cols>
  <sheetData>
    <row r="1" spans="1:2" ht="21.75" customHeight="1" x14ac:dyDescent="0.25">
      <c r="A1" s="12" t="s">
        <v>58</v>
      </c>
      <c r="B1" s="12"/>
    </row>
    <row r="2" spans="1:2" ht="13.5" customHeight="1" x14ac:dyDescent="0.25">
      <c r="A2" s="10" t="s">
        <v>59</v>
      </c>
      <c r="B2" s="10"/>
    </row>
    <row r="4" spans="1:2" x14ac:dyDescent="0.25">
      <c r="A4" s="1" t="s">
        <v>60</v>
      </c>
      <c r="B4" s="1" t="s">
        <v>61</v>
      </c>
    </row>
    <row r="5" spans="1:2" x14ac:dyDescent="0.25">
      <c r="A5" t="s">
        <v>62</v>
      </c>
      <c r="B5" t="s">
        <v>63</v>
      </c>
    </row>
    <row r="6" spans="1:2" x14ac:dyDescent="0.25">
      <c r="A6" t="s">
        <v>64</v>
      </c>
      <c r="B6" t="s">
        <v>65</v>
      </c>
    </row>
    <row r="7" spans="1:2" x14ac:dyDescent="0.25">
      <c r="A7" t="s">
        <v>66</v>
      </c>
      <c r="B7" t="s">
        <v>67</v>
      </c>
    </row>
    <row r="8" spans="1:2" x14ac:dyDescent="0.25">
      <c r="A8" t="s">
        <v>68</v>
      </c>
      <c r="B8" t="s">
        <v>69</v>
      </c>
    </row>
    <row r="9" spans="1:2" x14ac:dyDescent="0.25">
      <c r="A9" t="s">
        <v>70</v>
      </c>
      <c r="B9" t="s">
        <v>71</v>
      </c>
    </row>
    <row r="10" spans="1:2" x14ac:dyDescent="0.25">
      <c r="A10" t="s">
        <v>72</v>
      </c>
      <c r="B10" s="7">
        <v>0.33333333333333331</v>
      </c>
    </row>
    <row r="11" spans="1:2" x14ac:dyDescent="0.25">
      <c r="A11" t="s">
        <v>73</v>
      </c>
      <c r="B11">
        <v>1</v>
      </c>
    </row>
    <row r="12" spans="1:2" x14ac:dyDescent="0.25">
      <c r="A12" t="s">
        <v>74</v>
      </c>
      <c r="B12" t="s">
        <v>75</v>
      </c>
    </row>
    <row r="13" spans="1:2" x14ac:dyDescent="0.25">
      <c r="A13" t="s">
        <v>76</v>
      </c>
      <c r="B13" t="s">
        <v>77</v>
      </c>
    </row>
    <row r="14" spans="1:2" x14ac:dyDescent="0.25">
      <c r="A14" t="s">
        <v>78</v>
      </c>
      <c r="B14" t="s">
        <v>79</v>
      </c>
    </row>
    <row r="15" spans="1:2" x14ac:dyDescent="0.25">
      <c r="A15" t="s">
        <v>80</v>
      </c>
      <c r="B15" t="s">
        <v>79</v>
      </c>
    </row>
    <row r="16" spans="1:2" x14ac:dyDescent="0.25">
      <c r="A16" t="s">
        <v>81</v>
      </c>
      <c r="B16" t="s">
        <v>82</v>
      </c>
    </row>
    <row r="17" spans="1:2" x14ac:dyDescent="0.25">
      <c r="A17" t="s">
        <v>83</v>
      </c>
      <c r="B17" t="s">
        <v>84</v>
      </c>
    </row>
    <row r="18" spans="1:2" x14ac:dyDescent="0.25">
      <c r="A18" t="s">
        <v>85</v>
      </c>
      <c r="B18" s="8">
        <v>60</v>
      </c>
    </row>
    <row r="19" spans="1:2" x14ac:dyDescent="0.25">
      <c r="A19" t="s">
        <v>86</v>
      </c>
      <c r="B19" t="s">
        <v>87</v>
      </c>
    </row>
    <row r="20" spans="1:2" x14ac:dyDescent="0.25">
      <c r="A20" t="s">
        <v>88</v>
      </c>
      <c r="B20" t="s">
        <v>89</v>
      </c>
    </row>
    <row r="21" spans="1:2" x14ac:dyDescent="0.25">
      <c r="A21" t="s">
        <v>90</v>
      </c>
      <c r="B21" t="s">
        <v>89</v>
      </c>
    </row>
    <row r="22" spans="1:2" x14ac:dyDescent="0.25">
      <c r="A22" t="s">
        <v>91</v>
      </c>
      <c r="B22" t="s">
        <v>89</v>
      </c>
    </row>
    <row r="23" spans="1:2" x14ac:dyDescent="0.25">
      <c r="A23" t="s">
        <v>92</v>
      </c>
      <c r="B23" t="s">
        <v>6</v>
      </c>
    </row>
    <row r="24" spans="1:2" x14ac:dyDescent="0.25">
      <c r="A24" t="s">
        <v>93</v>
      </c>
      <c r="B24" t="s">
        <v>94</v>
      </c>
    </row>
    <row r="25" spans="1:2" x14ac:dyDescent="0.25">
      <c r="A25" t="s">
        <v>95</v>
      </c>
    </row>
    <row r="26" spans="1:2" x14ac:dyDescent="0.25">
      <c r="A26" t="s">
        <v>96</v>
      </c>
    </row>
    <row r="27" spans="1:2" x14ac:dyDescent="0.25">
      <c r="A27" t="s">
        <v>97</v>
      </c>
    </row>
    <row r="28" spans="1:2" x14ac:dyDescent="0.25">
      <c r="A28" t="s">
        <v>98</v>
      </c>
      <c r="B28" t="s">
        <v>99</v>
      </c>
    </row>
    <row r="29" spans="1:2" x14ac:dyDescent="0.25">
      <c r="A29" t="s">
        <v>100</v>
      </c>
    </row>
    <row r="30" spans="1:2" x14ac:dyDescent="0.25">
      <c r="A30" t="s">
        <v>101</v>
      </c>
    </row>
    <row r="31" spans="1:2" x14ac:dyDescent="0.25">
      <c r="A31" t="s">
        <v>102</v>
      </c>
    </row>
    <row r="32" spans="1:2" x14ac:dyDescent="0.25">
      <c r="A32" t="s">
        <v>103</v>
      </c>
      <c r="B32" t="s">
        <v>79</v>
      </c>
    </row>
    <row r="33" spans="1:2" x14ac:dyDescent="0.25">
      <c r="A33" t="s">
        <v>104</v>
      </c>
    </row>
    <row r="34" spans="1:2" x14ac:dyDescent="0.25">
      <c r="A34" t="s">
        <v>105</v>
      </c>
    </row>
    <row r="36" spans="1:2" x14ac:dyDescent="0.25">
      <c r="A36" s="11" t="s">
        <v>106</v>
      </c>
      <c r="B36" s="11"/>
    </row>
  </sheetData>
  <mergeCells count="3">
    <mergeCell ref="A1:B1"/>
    <mergeCell ref="A2:B2"/>
    <mergeCell ref="A36:B36"/>
  </mergeCell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E11"/>
  <sheetViews>
    <sheetView zoomScaleNormal="100" workbookViewId="0">
      <pane ySplit="4" topLeftCell="A5" activePane="bottomLeft" state="frozen"/>
      <selection pane="bottomLeft" sqref="A1:E1"/>
    </sheetView>
  </sheetViews>
  <sheetFormatPr defaultColWidth="8.7109375" defaultRowHeight="15" x14ac:dyDescent="0.25"/>
  <cols>
    <col min="1" max="1" width="12" customWidth="1"/>
    <col min="2" max="2" width="24" customWidth="1"/>
    <col min="3" max="3" width="32" customWidth="1"/>
    <col min="4" max="4" width="18" customWidth="1"/>
    <col min="5" max="5" width="12" customWidth="1"/>
  </cols>
  <sheetData>
    <row r="1" spans="1:5" ht="21.75" customHeight="1" x14ac:dyDescent="0.25">
      <c r="A1" s="12" t="s">
        <v>107</v>
      </c>
      <c r="B1" s="12"/>
      <c r="C1" s="12"/>
      <c r="D1" s="12"/>
      <c r="E1" s="12"/>
    </row>
    <row r="2" spans="1:5" ht="13.5" customHeight="1" x14ac:dyDescent="0.25">
      <c r="A2" s="10" t="s">
        <v>108</v>
      </c>
      <c r="B2" s="10"/>
      <c r="C2" s="10"/>
      <c r="D2" s="10"/>
      <c r="E2" s="10"/>
    </row>
    <row r="4" spans="1:5" ht="25.5" x14ac:dyDescent="0.25">
      <c r="A4" s="1" t="s">
        <v>109</v>
      </c>
      <c r="B4" s="1" t="s">
        <v>31</v>
      </c>
      <c r="C4" s="1" t="s">
        <v>110</v>
      </c>
      <c r="D4" s="1" t="s">
        <v>111</v>
      </c>
      <c r="E4" s="1" t="s">
        <v>9</v>
      </c>
    </row>
    <row r="5" spans="1:5" x14ac:dyDescent="0.25">
      <c r="A5" t="s">
        <v>112</v>
      </c>
      <c r="B5" t="s">
        <v>11</v>
      </c>
      <c r="C5" t="s">
        <v>113</v>
      </c>
      <c r="D5" s="4">
        <v>8</v>
      </c>
      <c r="E5" t="s">
        <v>114</v>
      </c>
    </row>
    <row r="6" spans="1:5" x14ac:dyDescent="0.25">
      <c r="A6" t="s">
        <v>115</v>
      </c>
      <c r="B6" t="s">
        <v>15</v>
      </c>
      <c r="C6" t="s">
        <v>116</v>
      </c>
      <c r="D6" s="4">
        <v>6</v>
      </c>
      <c r="E6" t="s">
        <v>114</v>
      </c>
    </row>
    <row r="7" spans="1:5" x14ac:dyDescent="0.25">
      <c r="A7" t="s">
        <v>117</v>
      </c>
      <c r="B7" t="s">
        <v>19</v>
      </c>
      <c r="C7" t="s">
        <v>118</v>
      </c>
      <c r="D7" s="4">
        <v>12</v>
      </c>
      <c r="E7" t="s">
        <v>114</v>
      </c>
    </row>
    <row r="8" spans="1:5" x14ac:dyDescent="0.25">
      <c r="A8" t="s">
        <v>119</v>
      </c>
      <c r="B8" t="s">
        <v>22</v>
      </c>
      <c r="C8" t="s">
        <v>120</v>
      </c>
      <c r="D8" s="4">
        <v>4</v>
      </c>
      <c r="E8" t="s">
        <v>114</v>
      </c>
    </row>
    <row r="9" spans="1:5" x14ac:dyDescent="0.25">
      <c r="A9" t="s">
        <v>121</v>
      </c>
      <c r="B9" t="s">
        <v>26</v>
      </c>
      <c r="C9" t="s">
        <v>122</v>
      </c>
      <c r="D9" s="4">
        <v>10</v>
      </c>
      <c r="E9" t="s">
        <v>114</v>
      </c>
    </row>
    <row r="11" spans="1:5" x14ac:dyDescent="0.25">
      <c r="A11" s="11" t="s">
        <v>123</v>
      </c>
      <c r="B11" s="11"/>
      <c r="C11" s="11"/>
      <c r="D11" s="11"/>
      <c r="E11" s="11"/>
    </row>
  </sheetData>
  <mergeCells count="3">
    <mergeCell ref="A1:E1"/>
    <mergeCell ref="A2:E2"/>
    <mergeCell ref="A11:E11"/>
  </mergeCell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10"/>
  <sheetViews>
    <sheetView zoomScaleNormal="100" workbookViewId="0">
      <pane ySplit="4" topLeftCell="A5" activePane="bottomLeft" state="frozen"/>
      <selection pane="bottomLeft" sqref="A1:C1"/>
    </sheetView>
  </sheetViews>
  <sheetFormatPr defaultColWidth="8.7109375" defaultRowHeight="15" x14ac:dyDescent="0.25"/>
  <cols>
    <col min="1" max="1" width="12" customWidth="1"/>
    <col min="2" max="2" width="24" customWidth="1"/>
    <col min="3" max="3" width="12" customWidth="1"/>
  </cols>
  <sheetData>
    <row r="1" spans="1:3" ht="21.75" customHeight="1" x14ac:dyDescent="0.25">
      <c r="A1" s="12" t="s">
        <v>124</v>
      </c>
      <c r="B1" s="12"/>
      <c r="C1" s="12"/>
    </row>
    <row r="2" spans="1:3" ht="13.5" customHeight="1" x14ac:dyDescent="0.25">
      <c r="A2" s="10" t="s">
        <v>125</v>
      </c>
      <c r="B2" s="10"/>
      <c r="C2" s="10"/>
    </row>
    <row r="4" spans="1:3" ht="25.5" x14ac:dyDescent="0.25">
      <c r="A4" s="1" t="s">
        <v>126</v>
      </c>
      <c r="B4" s="1" t="s">
        <v>31</v>
      </c>
      <c r="C4" s="1" t="s">
        <v>9</v>
      </c>
    </row>
    <row r="5" spans="1:3" x14ac:dyDescent="0.25">
      <c r="A5" t="s">
        <v>127</v>
      </c>
      <c r="B5" t="s">
        <v>128</v>
      </c>
      <c r="C5" t="s">
        <v>114</v>
      </c>
    </row>
    <row r="6" spans="1:3" x14ac:dyDescent="0.25">
      <c r="A6" t="s">
        <v>129</v>
      </c>
      <c r="B6" t="s">
        <v>130</v>
      </c>
      <c r="C6" t="s">
        <v>114</v>
      </c>
    </row>
    <row r="7" spans="1:3" x14ac:dyDescent="0.25">
      <c r="A7" t="s">
        <v>131</v>
      </c>
      <c r="B7" t="s">
        <v>132</v>
      </c>
      <c r="C7" t="s">
        <v>114</v>
      </c>
    </row>
    <row r="8" spans="1:3" x14ac:dyDescent="0.25">
      <c r="A8" t="s">
        <v>133</v>
      </c>
      <c r="B8" t="s">
        <v>134</v>
      </c>
      <c r="C8" t="s">
        <v>135</v>
      </c>
    </row>
    <row r="10" spans="1:3" x14ac:dyDescent="0.25">
      <c r="A10" s="11" t="s">
        <v>136</v>
      </c>
      <c r="B10" s="11"/>
      <c r="C10" s="11"/>
    </row>
  </sheetData>
  <mergeCells count="3">
    <mergeCell ref="A1:C1"/>
    <mergeCell ref="A2:C2"/>
    <mergeCell ref="A10:C10"/>
  </mergeCell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E9"/>
  <sheetViews>
    <sheetView zoomScaleNormal="100" workbookViewId="0">
      <pane ySplit="4" topLeftCell="A5" activePane="bottomLeft" state="frozen"/>
      <selection pane="bottomLeft" activeCell="J4" sqref="J4"/>
    </sheetView>
  </sheetViews>
  <sheetFormatPr defaultColWidth="8.7109375" defaultRowHeight="15" x14ac:dyDescent="0.25"/>
  <cols>
    <col min="1" max="1" width="12" customWidth="1"/>
    <col min="2" max="2" width="16" customWidth="1"/>
    <col min="3" max="4" width="14" customWidth="1"/>
    <col min="5" max="5" width="16" customWidth="1"/>
  </cols>
  <sheetData>
    <row r="1" spans="1:5" ht="21.75" customHeight="1" x14ac:dyDescent="0.25">
      <c r="A1" s="12" t="s">
        <v>221</v>
      </c>
      <c r="B1" s="12"/>
      <c r="C1" s="12"/>
      <c r="D1" s="12"/>
      <c r="E1" s="12"/>
    </row>
    <row r="2" spans="1:5" ht="13.5" customHeight="1" x14ac:dyDescent="0.25">
      <c r="A2" s="10" t="s">
        <v>137</v>
      </c>
      <c r="B2" s="10"/>
      <c r="C2" s="10"/>
      <c r="D2" s="10"/>
      <c r="E2" s="10"/>
    </row>
    <row r="4" spans="1:5" ht="25.5" x14ac:dyDescent="0.25">
      <c r="A4" s="1" t="s">
        <v>138</v>
      </c>
      <c r="B4" s="1" t="s">
        <v>31</v>
      </c>
      <c r="C4" s="1" t="s">
        <v>139</v>
      </c>
      <c r="D4" s="1" t="s">
        <v>140</v>
      </c>
      <c r="E4" s="1" t="s">
        <v>141</v>
      </c>
    </row>
    <row r="5" spans="1:5" x14ac:dyDescent="0.25">
      <c r="A5" t="s">
        <v>142</v>
      </c>
      <c r="B5" t="s">
        <v>143</v>
      </c>
      <c r="C5" s="6" t="s">
        <v>69</v>
      </c>
      <c r="D5" s="6" t="s">
        <v>144</v>
      </c>
      <c r="E5" t="s">
        <v>145</v>
      </c>
    </row>
    <row r="6" spans="1:5" x14ac:dyDescent="0.25">
      <c r="A6" t="s">
        <v>146</v>
      </c>
      <c r="B6" t="s">
        <v>147</v>
      </c>
      <c r="C6" s="6" t="s">
        <v>144</v>
      </c>
      <c r="D6" s="6" t="s">
        <v>71</v>
      </c>
      <c r="E6" t="s">
        <v>145</v>
      </c>
    </row>
    <row r="7" spans="1:5" x14ac:dyDescent="0.25">
      <c r="A7" t="s">
        <v>148</v>
      </c>
      <c r="B7" t="s">
        <v>149</v>
      </c>
      <c r="C7" s="6" t="s">
        <v>71</v>
      </c>
      <c r="D7" s="6" t="s">
        <v>69</v>
      </c>
      <c r="E7" t="s">
        <v>145</v>
      </c>
    </row>
    <row r="9" spans="1:5" x14ac:dyDescent="0.25">
      <c r="A9" s="11" t="s">
        <v>150</v>
      </c>
      <c r="B9" s="11"/>
      <c r="C9" s="11"/>
      <c r="D9" s="11"/>
      <c r="E9" s="11"/>
    </row>
  </sheetData>
  <mergeCells count="3">
    <mergeCell ref="A1:E1"/>
    <mergeCell ref="A2:E2"/>
    <mergeCell ref="A9:E9"/>
  </mergeCell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E10"/>
  <sheetViews>
    <sheetView zoomScaleNormal="100" workbookViewId="0">
      <pane ySplit="4" topLeftCell="A5" activePane="bottomLeft" state="frozen"/>
      <selection pane="bottomLeft" sqref="A1:E1"/>
    </sheetView>
  </sheetViews>
  <sheetFormatPr defaultColWidth="8.7109375" defaultRowHeight="15" x14ac:dyDescent="0.25"/>
  <cols>
    <col min="1" max="1" width="12" customWidth="1"/>
    <col min="2" max="2" width="14" customWidth="1"/>
    <col min="3" max="4" width="12" customWidth="1"/>
    <col min="5" max="5" width="18" customWidth="1"/>
  </cols>
  <sheetData>
    <row r="1" spans="1:5" ht="21.75" customHeight="1" x14ac:dyDescent="0.25">
      <c r="A1" s="12" t="s">
        <v>151</v>
      </c>
      <c r="B1" s="12"/>
      <c r="C1" s="12"/>
      <c r="D1" s="12"/>
      <c r="E1" s="12"/>
    </row>
    <row r="2" spans="1:5" ht="13.5" customHeight="1" x14ac:dyDescent="0.25">
      <c r="A2" s="10" t="s">
        <v>152</v>
      </c>
      <c r="B2" s="10"/>
      <c r="C2" s="10"/>
      <c r="D2" s="10"/>
      <c r="E2" s="10"/>
    </row>
    <row r="4" spans="1:5" ht="25.5" x14ac:dyDescent="0.25">
      <c r="A4" s="1" t="s">
        <v>153</v>
      </c>
      <c r="B4" s="1" t="s">
        <v>3</v>
      </c>
      <c r="C4" s="1" t="s">
        <v>154</v>
      </c>
      <c r="D4" s="1" t="s">
        <v>155</v>
      </c>
      <c r="E4" s="1" t="s">
        <v>111</v>
      </c>
    </row>
    <row r="5" spans="1:5" x14ac:dyDescent="0.25">
      <c r="A5" t="s">
        <v>156</v>
      </c>
      <c r="B5" t="s">
        <v>112</v>
      </c>
      <c r="C5" t="s">
        <v>12</v>
      </c>
      <c r="D5" s="2">
        <v>1</v>
      </c>
      <c r="E5" s="4">
        <v>8</v>
      </c>
    </row>
    <row r="6" spans="1:5" x14ac:dyDescent="0.25">
      <c r="A6" t="s">
        <v>157</v>
      </c>
      <c r="B6" t="s">
        <v>115</v>
      </c>
      <c r="C6" t="s">
        <v>16</v>
      </c>
      <c r="D6" s="2">
        <v>1</v>
      </c>
      <c r="E6" s="4">
        <v>6</v>
      </c>
    </row>
    <row r="7" spans="1:5" x14ac:dyDescent="0.25">
      <c r="A7" t="s">
        <v>158</v>
      </c>
      <c r="B7" t="s">
        <v>117</v>
      </c>
      <c r="C7" t="s">
        <v>12</v>
      </c>
      <c r="D7" s="2">
        <v>1</v>
      </c>
      <c r="E7" s="4">
        <v>12</v>
      </c>
    </row>
    <row r="8" spans="1:5" x14ac:dyDescent="0.25">
      <c r="A8" t="s">
        <v>159</v>
      </c>
      <c r="B8" t="s">
        <v>119</v>
      </c>
      <c r="C8" t="s">
        <v>23</v>
      </c>
      <c r="D8" s="2">
        <v>1</v>
      </c>
      <c r="E8" s="4">
        <v>4</v>
      </c>
    </row>
    <row r="10" spans="1:5" x14ac:dyDescent="0.25">
      <c r="A10" s="11" t="s">
        <v>160</v>
      </c>
      <c r="B10" s="11"/>
      <c r="C10" s="11"/>
      <c r="D10" s="11"/>
      <c r="E10" s="11"/>
    </row>
  </sheetData>
  <mergeCells count="3">
    <mergeCell ref="A1:E1"/>
    <mergeCell ref="A2:E2"/>
    <mergeCell ref="A10:E10"/>
  </mergeCell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D9"/>
  <sheetViews>
    <sheetView zoomScaleNormal="100" workbookViewId="0">
      <pane ySplit="4" topLeftCell="A5" activePane="bottomLeft" state="frozen"/>
      <selection pane="bottomLeft" activeCell="L15" sqref="L15"/>
    </sheetView>
  </sheetViews>
  <sheetFormatPr defaultColWidth="8.7109375" defaultRowHeight="15" x14ac:dyDescent="0.25"/>
  <cols>
    <col min="1" max="1" width="12" customWidth="1"/>
    <col min="2" max="2" width="30" customWidth="1"/>
    <col min="3" max="3" width="16" customWidth="1"/>
    <col min="4" max="4" width="12" customWidth="1"/>
  </cols>
  <sheetData>
    <row r="1" spans="1:4" ht="21.75" customHeight="1" x14ac:dyDescent="0.25">
      <c r="A1" s="12" t="s">
        <v>161</v>
      </c>
      <c r="B1" s="12"/>
      <c r="C1" s="12"/>
      <c r="D1" s="12"/>
    </row>
    <row r="2" spans="1:4" ht="13.5" customHeight="1" x14ac:dyDescent="0.25">
      <c r="A2" s="10" t="s">
        <v>162</v>
      </c>
      <c r="B2" s="10"/>
      <c r="C2" s="10"/>
      <c r="D2" s="10"/>
    </row>
    <row r="4" spans="1:4" x14ac:dyDescent="0.25">
      <c r="A4" s="1" t="s">
        <v>163</v>
      </c>
      <c r="B4" s="1" t="s">
        <v>110</v>
      </c>
      <c r="C4" s="1" t="s">
        <v>164</v>
      </c>
      <c r="D4" s="1" t="s">
        <v>9</v>
      </c>
    </row>
    <row r="5" spans="1:4" x14ac:dyDescent="0.25">
      <c r="A5" t="s">
        <v>165</v>
      </c>
      <c r="B5" t="s">
        <v>56</v>
      </c>
      <c r="C5" t="s">
        <v>166</v>
      </c>
      <c r="D5" t="s">
        <v>114</v>
      </c>
    </row>
    <row r="6" spans="1:4" x14ac:dyDescent="0.25">
      <c r="A6" t="s">
        <v>167</v>
      </c>
      <c r="B6" t="s">
        <v>168</v>
      </c>
      <c r="C6" t="s">
        <v>4</v>
      </c>
      <c r="D6" t="s">
        <v>114</v>
      </c>
    </row>
    <row r="7" spans="1:4" x14ac:dyDescent="0.25">
      <c r="A7" t="s">
        <v>169</v>
      </c>
      <c r="B7" t="s">
        <v>170</v>
      </c>
      <c r="C7" t="s">
        <v>171</v>
      </c>
      <c r="D7" t="s">
        <v>114</v>
      </c>
    </row>
    <row r="9" spans="1:4" x14ac:dyDescent="0.25">
      <c r="A9" s="11" t="s">
        <v>172</v>
      </c>
      <c r="B9" s="11"/>
      <c r="C9" s="11"/>
      <c r="D9" s="11"/>
    </row>
  </sheetData>
  <mergeCells count="3">
    <mergeCell ref="A1:D1"/>
    <mergeCell ref="A2:D2"/>
    <mergeCell ref="A9:D9"/>
  </mergeCell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G8"/>
  <sheetViews>
    <sheetView zoomScaleNormal="100" workbookViewId="0">
      <pane ySplit="4" topLeftCell="A5" activePane="bottomLeft" state="frozen"/>
      <selection pane="bottomLeft" activeCell="B11" sqref="B11"/>
    </sheetView>
  </sheetViews>
  <sheetFormatPr defaultColWidth="8.7109375" defaultRowHeight="15" x14ac:dyDescent="0.25"/>
  <cols>
    <col min="1" max="1" width="14" customWidth="1"/>
    <col min="2" max="2" width="32" customWidth="1"/>
    <col min="3" max="5" width="14" customWidth="1"/>
    <col min="6" max="6" width="12" customWidth="1"/>
    <col min="7" max="7" width="30" customWidth="1"/>
  </cols>
  <sheetData>
    <row r="1" spans="1:7" ht="21.75" customHeight="1" x14ac:dyDescent="0.25">
      <c r="A1" s="9" t="s">
        <v>173</v>
      </c>
      <c r="B1" s="9"/>
      <c r="C1" s="9"/>
      <c r="D1" s="9"/>
      <c r="E1" s="9"/>
      <c r="F1" s="9"/>
      <c r="G1" s="9"/>
    </row>
    <row r="2" spans="1:7" ht="13.5" customHeight="1" x14ac:dyDescent="0.25">
      <c r="A2" s="13" t="s">
        <v>174</v>
      </c>
      <c r="B2" s="13"/>
      <c r="C2" s="13"/>
      <c r="D2" s="13"/>
      <c r="E2" s="13"/>
      <c r="F2" s="13"/>
      <c r="G2" s="13"/>
    </row>
    <row r="4" spans="1:7" x14ac:dyDescent="0.25">
      <c r="A4" s="1" t="s">
        <v>175</v>
      </c>
      <c r="B4" s="1" t="s">
        <v>176</v>
      </c>
      <c r="C4" s="1" t="s">
        <v>177</v>
      </c>
      <c r="D4" s="1" t="s">
        <v>6</v>
      </c>
      <c r="E4" s="1" t="s">
        <v>7</v>
      </c>
      <c r="F4" s="1" t="s">
        <v>9</v>
      </c>
      <c r="G4" s="1" t="s">
        <v>178</v>
      </c>
    </row>
    <row r="5" spans="1:7" x14ac:dyDescent="0.25">
      <c r="A5" t="s">
        <v>179</v>
      </c>
      <c r="B5" t="s">
        <v>180</v>
      </c>
      <c r="C5" s="3">
        <v>46254</v>
      </c>
      <c r="D5" s="3">
        <v>46258</v>
      </c>
      <c r="E5" s="3">
        <v>46265</v>
      </c>
      <c r="F5" t="s">
        <v>181</v>
      </c>
      <c r="G5" t="s">
        <v>182</v>
      </c>
    </row>
    <row r="6" spans="1:7" x14ac:dyDescent="0.25">
      <c r="A6" t="s">
        <v>183</v>
      </c>
      <c r="B6" t="s">
        <v>184</v>
      </c>
      <c r="C6" s="3">
        <v>46255</v>
      </c>
      <c r="D6" s="3">
        <v>46262</v>
      </c>
      <c r="E6" s="3">
        <v>46269</v>
      </c>
      <c r="F6" t="s">
        <v>181</v>
      </c>
      <c r="G6" t="s">
        <v>182</v>
      </c>
    </row>
    <row r="8" spans="1:7" x14ac:dyDescent="0.25">
      <c r="A8" s="11" t="s">
        <v>185</v>
      </c>
      <c r="B8" s="11"/>
      <c r="C8" s="11"/>
      <c r="D8" s="11"/>
      <c r="E8" s="11"/>
      <c r="F8" s="11"/>
      <c r="G8" s="11"/>
    </row>
  </sheetData>
  <mergeCells count="3">
    <mergeCell ref="A1:G1"/>
    <mergeCell ref="A2:G2"/>
    <mergeCell ref="A8:G8"/>
  </mergeCell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L9"/>
  <sheetViews>
    <sheetView zoomScaleNormal="100" workbookViewId="0">
      <pane ySplit="4" topLeftCell="A5" activePane="bottomLeft" state="frozen"/>
      <selection pane="bottomLeft" sqref="A1:L1"/>
    </sheetView>
  </sheetViews>
  <sheetFormatPr defaultColWidth="8.7109375" defaultRowHeight="15" x14ac:dyDescent="0.25"/>
  <cols>
    <col min="1" max="1" width="12" customWidth="1"/>
    <col min="2" max="3" width="14" customWidth="1"/>
    <col min="4" max="4" width="24" customWidth="1"/>
    <col min="5" max="5" width="14" customWidth="1"/>
    <col min="6" max="6" width="12" customWidth="1"/>
    <col min="7" max="10" width="14" customWidth="1"/>
    <col min="11" max="11" width="12" customWidth="1"/>
    <col min="12" max="12" width="30" customWidth="1"/>
  </cols>
  <sheetData>
    <row r="1" spans="1:12" ht="21.75" customHeight="1" x14ac:dyDescent="0.25">
      <c r="A1" s="12" t="s">
        <v>186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</row>
    <row r="2" spans="1:12" ht="13.5" customHeight="1" x14ac:dyDescent="0.25">
      <c r="A2" s="10" t="s">
        <v>187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</row>
    <row r="4" spans="1:12" ht="25.5" x14ac:dyDescent="0.25">
      <c r="A4" s="1" t="s">
        <v>175</v>
      </c>
      <c r="B4" s="1" t="s">
        <v>188</v>
      </c>
      <c r="C4" s="1" t="s">
        <v>189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8</v>
      </c>
      <c r="J4" s="1" t="s">
        <v>9</v>
      </c>
      <c r="K4" s="1" t="s">
        <v>190</v>
      </c>
      <c r="L4" s="1" t="s">
        <v>178</v>
      </c>
    </row>
    <row r="5" spans="1:12" x14ac:dyDescent="0.25">
      <c r="A5" t="s">
        <v>179</v>
      </c>
      <c r="B5" t="s">
        <v>191</v>
      </c>
      <c r="C5" t="s">
        <v>18</v>
      </c>
      <c r="D5" t="s">
        <v>19</v>
      </c>
      <c r="E5" t="s">
        <v>38</v>
      </c>
      <c r="F5" s="2">
        <v>800</v>
      </c>
      <c r="G5" s="3">
        <v>46260</v>
      </c>
      <c r="H5" s="3">
        <v>46260</v>
      </c>
      <c r="I5" s="4">
        <v>12</v>
      </c>
      <c r="J5" t="s">
        <v>17</v>
      </c>
      <c r="K5" t="s">
        <v>192</v>
      </c>
      <c r="L5" t="s">
        <v>193</v>
      </c>
    </row>
    <row r="6" spans="1:12" x14ac:dyDescent="0.25">
      <c r="A6" t="s">
        <v>179</v>
      </c>
      <c r="B6" t="s">
        <v>194</v>
      </c>
      <c r="C6" t="s">
        <v>10</v>
      </c>
      <c r="D6" t="s">
        <v>11</v>
      </c>
      <c r="E6" t="s">
        <v>12</v>
      </c>
      <c r="F6" s="2">
        <v>500</v>
      </c>
      <c r="G6" s="3">
        <v>46259</v>
      </c>
      <c r="H6" s="3">
        <v>46259</v>
      </c>
      <c r="I6" s="4">
        <v>8</v>
      </c>
      <c r="J6" t="s">
        <v>13</v>
      </c>
      <c r="K6" t="s">
        <v>195</v>
      </c>
      <c r="L6" t="s">
        <v>182</v>
      </c>
    </row>
    <row r="7" spans="1:12" x14ac:dyDescent="0.25">
      <c r="A7" t="s">
        <v>183</v>
      </c>
      <c r="B7" t="s">
        <v>196</v>
      </c>
      <c r="C7" t="s">
        <v>14</v>
      </c>
      <c r="D7" t="s">
        <v>15</v>
      </c>
      <c r="E7" t="s">
        <v>16</v>
      </c>
      <c r="F7" s="2">
        <v>300</v>
      </c>
      <c r="G7" s="3">
        <v>46262</v>
      </c>
      <c r="H7" s="3">
        <v>46262</v>
      </c>
      <c r="I7" s="4">
        <v>6</v>
      </c>
      <c r="J7" t="s">
        <v>17</v>
      </c>
      <c r="K7" t="s">
        <v>195</v>
      </c>
      <c r="L7" t="s">
        <v>197</v>
      </c>
    </row>
    <row r="9" spans="1:12" x14ac:dyDescent="0.25">
      <c r="A9" s="11" t="s">
        <v>198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</row>
  </sheetData>
  <mergeCells count="3">
    <mergeCell ref="A1:L1"/>
    <mergeCell ref="A2:L2"/>
    <mergeCell ref="A9:L9"/>
  </mergeCells>
  <dataValidations count="1">
    <dataValidation type="list" allowBlank="1" showErrorMessage="1" errorTitle="Valor inválido" error="Selecione um valor da lista (domínio confirmado no código VBA)." sqref="J5:J1000" xr:uid="{00000000-0002-0000-0A00-000000000000}">
      <formula1>"Planejada,Em Andamento,Concluído,Atrasado"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9"/>
  <sheetViews>
    <sheetView zoomScaleNormal="100" workbookViewId="0">
      <pane ySplit="4" topLeftCell="A5" activePane="bottomLeft" state="frozen"/>
      <selection pane="bottomLeft" sqref="A1:J1"/>
    </sheetView>
  </sheetViews>
  <sheetFormatPr defaultColWidth="8.7109375" defaultRowHeight="15" x14ac:dyDescent="0.25"/>
  <cols>
    <col min="1" max="3" width="12" customWidth="1"/>
    <col min="4" max="4" width="14" customWidth="1"/>
    <col min="5" max="9" width="18" customWidth="1"/>
    <col min="10" max="10" width="16" customWidth="1"/>
  </cols>
  <sheetData>
    <row r="1" spans="1:10" ht="21.75" customHeight="1" x14ac:dyDescent="0.25">
      <c r="A1" s="12" t="s">
        <v>199</v>
      </c>
      <c r="B1" s="12"/>
      <c r="C1" s="12"/>
      <c r="D1" s="12"/>
      <c r="E1" s="12"/>
      <c r="F1" s="12"/>
      <c r="G1" s="12"/>
      <c r="H1" s="12"/>
      <c r="I1" s="12"/>
      <c r="J1" s="12"/>
    </row>
    <row r="2" spans="1:10" ht="13.5" customHeight="1" x14ac:dyDescent="0.25">
      <c r="A2" s="10" t="s">
        <v>200</v>
      </c>
      <c r="B2" s="10"/>
      <c r="C2" s="10"/>
      <c r="D2" s="10"/>
      <c r="E2" s="10"/>
      <c r="F2" s="10"/>
      <c r="G2" s="10"/>
      <c r="H2" s="10"/>
      <c r="I2" s="10"/>
      <c r="J2" s="10"/>
    </row>
    <row r="4" spans="1:10" ht="25.5" x14ac:dyDescent="0.25">
      <c r="A4" s="1" t="s">
        <v>201</v>
      </c>
      <c r="B4" s="1" t="s">
        <v>2</v>
      </c>
      <c r="C4" s="1" t="s">
        <v>126</v>
      </c>
      <c r="D4" s="1" t="s">
        <v>4</v>
      </c>
      <c r="E4" s="1" t="s">
        <v>6</v>
      </c>
      <c r="F4" s="1" t="s">
        <v>7</v>
      </c>
      <c r="G4" s="1" t="s">
        <v>202</v>
      </c>
      <c r="H4" s="1" t="s">
        <v>203</v>
      </c>
      <c r="I4" s="1" t="s">
        <v>204</v>
      </c>
      <c r="J4" s="1" t="s">
        <v>9</v>
      </c>
    </row>
    <row r="5" spans="1:10" x14ac:dyDescent="0.25">
      <c r="A5" t="s">
        <v>205</v>
      </c>
      <c r="B5" t="s">
        <v>10</v>
      </c>
      <c r="C5" t="s">
        <v>127</v>
      </c>
      <c r="D5" t="s">
        <v>12</v>
      </c>
      <c r="E5" s="5">
        <v>46259.256944444503</v>
      </c>
      <c r="F5" s="5"/>
      <c r="G5" s="2">
        <v>500</v>
      </c>
      <c r="H5" s="2">
        <v>320</v>
      </c>
      <c r="I5" s="2">
        <v>5</v>
      </c>
      <c r="J5" t="s">
        <v>206</v>
      </c>
    </row>
    <row r="6" spans="1:10" x14ac:dyDescent="0.25">
      <c r="A6" t="s">
        <v>207</v>
      </c>
      <c r="B6" t="s">
        <v>18</v>
      </c>
      <c r="C6" t="s">
        <v>131</v>
      </c>
      <c r="D6" t="s">
        <v>12</v>
      </c>
      <c r="E6" s="5">
        <v>46258.291666666701</v>
      </c>
      <c r="F6" s="5"/>
      <c r="G6" s="2">
        <v>800</v>
      </c>
      <c r="H6" s="2">
        <v>200</v>
      </c>
      <c r="I6" s="2">
        <v>12</v>
      </c>
      <c r="J6" t="s">
        <v>208</v>
      </c>
    </row>
    <row r="7" spans="1:10" x14ac:dyDescent="0.25">
      <c r="A7" t="s">
        <v>209</v>
      </c>
      <c r="B7" t="s">
        <v>21</v>
      </c>
      <c r="C7" t="s">
        <v>133</v>
      </c>
      <c r="D7" t="s">
        <v>23</v>
      </c>
      <c r="E7" s="5">
        <v>46256.253472222197</v>
      </c>
      <c r="F7" s="5">
        <v>46256.402777777803</v>
      </c>
      <c r="G7" s="2">
        <v>150</v>
      </c>
      <c r="H7" s="2">
        <v>150</v>
      </c>
      <c r="I7" s="2">
        <v>0</v>
      </c>
      <c r="J7" t="s">
        <v>210</v>
      </c>
    </row>
    <row r="9" spans="1:10" x14ac:dyDescent="0.25">
      <c r="A9" s="11" t="s">
        <v>211</v>
      </c>
      <c r="B9" s="11"/>
      <c r="C9" s="11"/>
      <c r="D9" s="11"/>
      <c r="E9" s="11"/>
      <c r="F9" s="11"/>
      <c r="G9" s="11"/>
      <c r="H9" s="11"/>
      <c r="I9" s="11"/>
      <c r="J9" s="11"/>
    </row>
  </sheetData>
  <mergeCells count="3">
    <mergeCell ref="A1:J1"/>
    <mergeCell ref="A2:J2"/>
    <mergeCell ref="A9:J9"/>
  </mergeCells>
  <dataValidations count="1">
    <dataValidation type="list" allowBlank="1" showErrorMessage="1" errorTitle="Valor inválido" error="Selecione um valor da lista (domínio confirmado no código VBA)." sqref="J5:J1000" xr:uid="{00000000-0002-0000-0B00-000000000000}">
      <formula1>"EM PRODUÇÃO,PAUSADA,FINALIZADA"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I8"/>
  <sheetViews>
    <sheetView zoomScaleNormal="100" workbookViewId="0">
      <pane ySplit="4" topLeftCell="A5" activePane="bottomLeft" state="frozen"/>
      <selection pane="bottomLeft" sqref="A1:I1"/>
    </sheetView>
  </sheetViews>
  <sheetFormatPr defaultColWidth="8.7109375" defaultRowHeight="15" x14ac:dyDescent="0.25"/>
  <cols>
    <col min="1" max="2" width="12" customWidth="1"/>
    <col min="3" max="3" width="14" customWidth="1"/>
    <col min="4" max="4" width="12" customWidth="1"/>
    <col min="5" max="6" width="18" customWidth="1"/>
    <col min="7" max="7" width="12" customWidth="1"/>
    <col min="8" max="8" width="34" customWidth="1"/>
    <col min="9" max="9" width="16" customWidth="1"/>
  </cols>
  <sheetData>
    <row r="1" spans="1:9" ht="21.75" customHeight="1" x14ac:dyDescent="0.25">
      <c r="A1" s="12" t="s">
        <v>212</v>
      </c>
      <c r="B1" s="12"/>
      <c r="C1" s="12"/>
      <c r="D1" s="12"/>
      <c r="E1" s="12"/>
      <c r="F1" s="12"/>
      <c r="G1" s="12"/>
      <c r="H1" s="12"/>
      <c r="I1" s="12"/>
    </row>
    <row r="2" spans="1:9" ht="13.5" customHeight="1" x14ac:dyDescent="0.25">
      <c r="A2" s="10" t="s">
        <v>213</v>
      </c>
      <c r="B2" s="10"/>
      <c r="C2" s="10"/>
      <c r="D2" s="10"/>
      <c r="E2" s="10"/>
      <c r="F2" s="10"/>
      <c r="G2" s="10"/>
      <c r="H2" s="10"/>
      <c r="I2" s="10"/>
    </row>
    <row r="4" spans="1:9" ht="25.5" x14ac:dyDescent="0.25">
      <c r="A4" s="1" t="s">
        <v>214</v>
      </c>
      <c r="B4" s="1" t="s">
        <v>2</v>
      </c>
      <c r="C4" s="1" t="s">
        <v>4</v>
      </c>
      <c r="D4" s="1" t="s">
        <v>126</v>
      </c>
      <c r="E4" s="1" t="s">
        <v>6</v>
      </c>
      <c r="F4" s="1" t="s">
        <v>7</v>
      </c>
      <c r="G4" s="1" t="s">
        <v>163</v>
      </c>
      <c r="H4" s="1" t="s">
        <v>178</v>
      </c>
      <c r="I4" s="1" t="s">
        <v>215</v>
      </c>
    </row>
    <row r="5" spans="1:9" x14ac:dyDescent="0.25">
      <c r="A5" t="s">
        <v>216</v>
      </c>
      <c r="B5" t="s">
        <v>18</v>
      </c>
      <c r="C5" t="s">
        <v>12</v>
      </c>
      <c r="D5" t="s">
        <v>131</v>
      </c>
      <c r="E5" s="5">
        <v>46260.375</v>
      </c>
      <c r="F5" s="5">
        <v>46260.458333333299</v>
      </c>
      <c r="G5" t="s">
        <v>165</v>
      </c>
      <c r="H5" t="s">
        <v>217</v>
      </c>
      <c r="I5" s="2">
        <v>120</v>
      </c>
    </row>
    <row r="6" spans="1:9" x14ac:dyDescent="0.25">
      <c r="A6" t="s">
        <v>218</v>
      </c>
      <c r="B6" t="s">
        <v>10</v>
      </c>
      <c r="C6" t="s">
        <v>12</v>
      </c>
      <c r="D6" t="s">
        <v>127</v>
      </c>
      <c r="E6" s="5">
        <v>46259.416666666701</v>
      </c>
      <c r="F6" s="5">
        <v>46259.4375</v>
      </c>
      <c r="G6" t="s">
        <v>169</v>
      </c>
      <c r="H6" t="s">
        <v>219</v>
      </c>
      <c r="I6" s="2">
        <v>30</v>
      </c>
    </row>
    <row r="8" spans="1:9" x14ac:dyDescent="0.25">
      <c r="A8" s="11" t="s">
        <v>220</v>
      </c>
      <c r="B8" s="11"/>
      <c r="C8" s="11"/>
      <c r="D8" s="11"/>
      <c r="E8" s="11"/>
      <c r="F8" s="11"/>
      <c r="G8" s="11"/>
      <c r="H8" s="11"/>
      <c r="I8" s="11"/>
    </row>
  </sheetData>
  <mergeCells count="3">
    <mergeCell ref="A1:I1"/>
    <mergeCell ref="A2:I2"/>
    <mergeCell ref="A8:I8"/>
  </mergeCell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BD_OPs</vt:lpstr>
      <vt:lpstr>BD_Equipamentos</vt:lpstr>
      <vt:lpstr>BD_Eventos</vt:lpstr>
      <vt:lpstr>BD_Config</vt:lpstr>
      <vt:lpstr>BD_Produtos</vt:lpstr>
      <vt:lpstr>BD_Operadores</vt:lpstr>
      <vt:lpstr>BD_Turnos</vt:lpstr>
      <vt:lpstr>BD_Processos</vt:lpstr>
      <vt:lpstr>BD_MotivosParada</vt:lpstr>
      <vt:lpstr>BD_Simulacoes</vt:lpstr>
      <vt:lpstr>BD_OPsSimulacao</vt:lpstr>
      <vt:lpstr>BD_Producoes</vt:lpstr>
      <vt:lpstr>BD_Paradas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jose Robson Lisboa</cp:lastModifiedBy>
  <cp:revision>0</cp:revision>
  <dcterms:created xsi:type="dcterms:W3CDTF">2026-08-28T04:09:52Z</dcterms:created>
  <dcterms:modified xsi:type="dcterms:W3CDTF">2026-09-01T04:10:05Z</dcterms:modified>
  <dc:language>en-US</dc:language>
</cp:coreProperties>
</file>